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i_h\Desktop\INOVEL\"/>
    </mc:Choice>
  </mc:AlternateContent>
  <xr:revisionPtr revIDLastSave="0" documentId="13_ncr:1_{43BE5F04-8CB4-4942-9274-C9E8584AE5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drões_Identificados" sheetId="1" r:id="rId1"/>
    <sheet name="Objetivos_Baseados_em_Dados" sheetId="2" r:id="rId2"/>
    <sheet name="Graficos" sheetId="3" r:id="rId3"/>
    <sheet name="Resumo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" i="1"/>
  <c r="D2" i="1"/>
</calcChain>
</file>

<file path=xl/sharedStrings.xml><?xml version="1.0" encoding="utf-8"?>
<sst xmlns="http://schemas.openxmlformats.org/spreadsheetml/2006/main" count="248" uniqueCount="207">
  <si>
    <t>Categoria</t>
  </si>
  <si>
    <t>Métrica</t>
  </si>
  <si>
    <t>Valor</t>
  </si>
  <si>
    <t>Percentual</t>
  </si>
  <si>
    <t>Marketplaces</t>
  </si>
  <si>
    <t>Amazon</t>
  </si>
  <si>
    <t>OLX</t>
  </si>
  <si>
    <t>Marketplace local popular</t>
  </si>
  <si>
    <t>Facebook Marketplace</t>
  </si>
  <si>
    <t>Marketplace social relevante</t>
  </si>
  <si>
    <t>Worten Marketplace</t>
  </si>
  <si>
    <t>Marketplace regional específico</t>
  </si>
  <si>
    <t>eBay</t>
  </si>
  <si>
    <t>Marketplace internacional secundário</t>
  </si>
  <si>
    <t>Etsy</t>
  </si>
  <si>
    <t>Não utilizado pela amostra</t>
  </si>
  <si>
    <t>Uso Multi-plataforma</t>
  </si>
  <si>
    <t>Usa apenas 1 marketplace</t>
  </si>
  <si>
    <t>Segmento mono-marketplace significativo</t>
  </si>
  <si>
    <t>Usa 2 marketplaces</t>
  </si>
  <si>
    <t>Segmento em expansão</t>
  </si>
  <si>
    <t>Usa 3 marketplaces</t>
  </si>
  <si>
    <t>Segmento multi-plataforma ativo</t>
  </si>
  <si>
    <t>Usa 4+ marketplaces</t>
  </si>
  <si>
    <t>Catálogo</t>
  </si>
  <si>
    <t>Menos de 10 produtos</t>
  </si>
  <si>
    <t>Maioria tem catálogo pequeno</t>
  </si>
  <si>
    <t>10 a 50 produtos</t>
  </si>
  <si>
    <t>Crescimento intermediário</t>
  </si>
  <si>
    <t>50 a 200 produtos</t>
  </si>
  <si>
    <t>Catálogo grande</t>
  </si>
  <si>
    <t>Mais de 200 produtos</t>
  </si>
  <si>
    <t>Catálogo muito grande</t>
  </si>
  <si>
    <t>Experiência</t>
  </si>
  <si>
    <t>Menos de 1 ano</t>
  </si>
  <si>
    <t>Metade são iniciantes</t>
  </si>
  <si>
    <t>1-3 anos</t>
  </si>
  <si>
    <t>Segmento intermediário significativo</t>
  </si>
  <si>
    <t>Mais de 5 anos</t>
  </si>
  <si>
    <t>Vendedores experientes</t>
  </si>
  <si>
    <t>Tempo Gasto</t>
  </si>
  <si>
    <t>Menos de 1 hora</t>
  </si>
  <si>
    <t>Maioria gasta pouco tempo</t>
  </si>
  <si>
    <t>1-2 horas</t>
  </si>
  <si>
    <t>Segmento com tempo moderado</t>
  </si>
  <si>
    <t>5-10 horas</t>
  </si>
  <si>
    <t>Alto investimento de tempo</t>
  </si>
  <si>
    <t>Mais de 10 horas</t>
  </si>
  <si>
    <t>Investimento extremo de tempo</t>
  </si>
  <si>
    <t>Desafios</t>
  </si>
  <si>
    <t>Inserir produtos manualmente</t>
  </si>
  <si>
    <t>Desafio mais frequente</t>
  </si>
  <si>
    <t>Segundo desafio mais comum</t>
  </si>
  <si>
    <t>Sincronizar produtos/descrições</t>
  </si>
  <si>
    <t>Desafio de consistência</t>
  </si>
  <si>
    <t>Desafio de comunicação</t>
  </si>
  <si>
    <t>Desafio de visibilidade</t>
  </si>
  <si>
    <t>Interesse Funcionalidades</t>
  </si>
  <si>
    <t>Publicação automática</t>
  </si>
  <si>
    <t>Maior interesse - score 4.42/5</t>
  </si>
  <si>
    <t>Atualização automática</t>
  </si>
  <si>
    <t>Alto interesse - score 4.21/5</t>
  </si>
  <si>
    <t>Relatórios por marketplace</t>
  </si>
  <si>
    <t>Interesse relevante - score 4.05/5</t>
  </si>
  <si>
    <t>Correlações</t>
  </si>
  <si>
    <t>Multi-marketplace (3+) vs Desafios</t>
  </si>
  <si>
    <t>Mais marketplaces = mais desafios</t>
  </si>
  <si>
    <t>Mono-marketplace vs Desafios</t>
  </si>
  <si>
    <t>Menos complexidade operacional</t>
  </si>
  <si>
    <t>Desafio manual vs Score automação</t>
  </si>
  <si>
    <t>Quem sofre mais quer mais automação</t>
  </si>
  <si>
    <t>Tempo 10h+ vs Score automação</t>
  </si>
  <si>
    <t>Máximo interesse em automação</t>
  </si>
  <si>
    <t>ID</t>
  </si>
  <si>
    <t>Padrão Identificado</t>
  </si>
  <si>
    <t>Condição (SE)</t>
  </si>
  <si>
    <t>Resultado (ENTÃO)</t>
  </si>
  <si>
    <t>Probabilidade/Intensidade</t>
  </si>
  <si>
    <t>Implicação para o Produto</t>
  </si>
  <si>
    <t>Prioridade</t>
  </si>
  <si>
    <t>Marketplaces vs Desafios</t>
  </si>
  <si>
    <t>SE o vendedor usa 4 ou mais marketplaces</t>
  </si>
  <si>
    <t>ENTÃO enfrenta 3.67 desafios diários (vs 1.62 para mono-marketplace)</t>
  </si>
  <si>
    <t>126% mais desafios</t>
  </si>
  <si>
    <t>Priorizar funcionalidades de sincronização multi-marketplace e automação para usuários com 3+ plataformas</t>
  </si>
  <si>
    <t>ALTA</t>
  </si>
  <si>
    <t>Desafio Manual vs Interesse</t>
  </si>
  <si>
    <t>SE o vendedor enfrenta desafio 'Inserir produtos manualmente'</t>
  </si>
  <si>
    <t>ENTÃO tem interesse 4.73/5 em publicação automática</t>
  </si>
  <si>
    <t>55% dos usuários + score 4.73</t>
  </si>
  <si>
    <t>Funcionalidade de publicação automática é crítica - atende 55% da base com alto interesse</t>
  </si>
  <si>
    <t>CRÍTICA</t>
  </si>
  <si>
    <t>Atualização Estoque vs Automação</t>
  </si>
  <si>
    <t>SE o vendedor tem desafio 'Atualizar estoque'</t>
  </si>
  <si>
    <t>ENTÃO tem interesse 4.71/5 em atualização automática</t>
  </si>
  <si>
    <t>40% dos usuários + score 4.71</t>
  </si>
  <si>
    <t>Sistema de sincronização de estoque em tempo real é essencial para 40% da base</t>
  </si>
  <si>
    <t>Tempo Gasto vs Necessidade</t>
  </si>
  <si>
    <t>SE o vendedor gasta mais de 10 horas atualizando</t>
  </si>
  <si>
    <t>ENTÃO tem interesse máximo (5.0) em todas automações</t>
  </si>
  <si>
    <t>Score perfeito 5.0</t>
  </si>
  <si>
    <t>Usuários com alto tempo gasto são early adopters ideais - máxima disposição para automação</t>
  </si>
  <si>
    <t>Experiência vs Escala</t>
  </si>
  <si>
    <t>SE o vendedor tem mais de 5 anos de experiência</t>
  </si>
  <si>
    <t>ENTÃO tem 10-200+ produtos listados</t>
  </si>
  <si>
    <t>100% dos experientes</t>
  </si>
  <si>
    <t>Vendedores experientes escalam - produto deve suportar crescimento de catálogo</t>
  </si>
  <si>
    <t>MÉDIA</t>
  </si>
  <si>
    <t>Amazon Dominância</t>
  </si>
  <si>
    <t>SE é vendedor online</t>
  </si>
  <si>
    <t>ENTÃO usa Amazon em 95% dos casos</t>
  </si>
  <si>
    <t>19 de 20 usuários (95%)</t>
  </si>
  <si>
    <t>Integração com Amazon é obrigatória - marketplace dominante no mercado</t>
  </si>
  <si>
    <t>Multi-marketplace Comum</t>
  </si>
  <si>
    <t>SE o vendedor é ativo</t>
  </si>
  <si>
    <t>ENTÃO 60% usa 2+ marketplaces</t>
  </si>
  <si>
    <t>12 de 20 usuários</t>
  </si>
  <si>
    <t>Produto deve ser multi-marketplace por padrão, não exceção</t>
  </si>
  <si>
    <t>OLX + Facebook Combinação</t>
  </si>
  <si>
    <t>SE usa marketplaces locais</t>
  </si>
  <si>
    <t>ENTÃO combina OLX (45%) + Facebook (40%)</t>
  </si>
  <si>
    <t>Padrão regional forte</t>
  </si>
  <si>
    <t>Integração com marketplaces locais portugueses é diferencial competitivo</t>
  </si>
  <si>
    <t>Iniciantes Predominam</t>
  </si>
  <si>
    <t>SE é vendedor na base</t>
  </si>
  <si>
    <t>ENTÃO tem menos de 1 ano (50%) ou 1-3 anos (35%)</t>
  </si>
  <si>
    <t>85% com até 3 anos</t>
  </si>
  <si>
    <t>Produto deve ter onboarding simplificado para iniciantes</t>
  </si>
  <si>
    <t>Catálogo Pequeno Inicial</t>
  </si>
  <si>
    <t>SE é vendedor típico</t>
  </si>
  <si>
    <t>ENTÃO tem menos de 10 produtos (85%)</t>
  </si>
  <si>
    <t>17 de 20 usuários</t>
  </si>
  <si>
    <t>Foco inicial em facilitar gestão de catálogos pequenos com potencial de crescimento</t>
  </si>
  <si>
    <t>Tempo Limitado</t>
  </si>
  <si>
    <t>ENTÃO gasta menos de 1 hora atualizando (60%)</t>
  </si>
  <si>
    <t>Automação deve economizar tempo em tarefas que hoje levam &lt;1h - ganho imediato visível</t>
  </si>
  <si>
    <t>Sincronização Crítica</t>
  </si>
  <si>
    <t>SE usa múltiplos marketplaces</t>
  </si>
  <si>
    <t>ENTÃO enfrenta desafio de sincronização (35%)</t>
  </si>
  <si>
    <t>7 de 20 usuários</t>
  </si>
  <si>
    <t>Sistema de sincronização automática de descrições e preços entre plataformas</t>
  </si>
  <si>
    <t>Gestão Mensagens</t>
  </si>
  <si>
    <t>SE vende online</t>
  </si>
  <si>
    <t>ENTÃO 35% enfrenta desafio com mensagens de clientes</t>
  </si>
  <si>
    <t>Considerar centralização de mensagens de múltiplos marketplaces</t>
  </si>
  <si>
    <t>Inventário Tempo Real</t>
  </si>
  <si>
    <t>SE é vendedor ativo</t>
  </si>
  <si>
    <t>ENTÃO 30% precisa de inventário em tempo real</t>
  </si>
  <si>
    <t>6 de 20 usuários</t>
  </si>
  <si>
    <t>Dashboard com visão consolidada de vendas e estoque em tempo real</t>
  </si>
  <si>
    <t>Interesse Relatórios</t>
  </si>
  <si>
    <t>SE é vendedor</t>
  </si>
  <si>
    <t>ENTÃO tem interesse 4.05/5 em relatórios por marketplace</t>
  </si>
  <si>
    <t>Score médio 4.05</t>
  </si>
  <si>
    <t>Relatórios analíticos por marketplace são funcionalidade desejada</t>
  </si>
  <si>
    <t>VISUALIZAÇÕES DOS PADRÕES IDENTIFICADOS</t>
  </si>
  <si>
    <t>CORRELAÇÃO: DESAFIOS vs INTERESSE EM AUTOMAÇÃO</t>
  </si>
  <si>
    <t>Insight Principal</t>
  </si>
  <si>
    <t>Dados de Suporte</t>
  </si>
  <si>
    <t>Ação Recomendada</t>
  </si>
  <si>
    <t>MERCADO</t>
  </si>
  <si>
    <t>Amazon é OBRIGATÓRIO - 95% dos vendedores usam</t>
  </si>
  <si>
    <t>19 de 20 usuários (95%) utilizam Amazon como marketplace principal</t>
  </si>
  <si>
    <t>Priorizar integração robusta com Amazon API como funcionalidade core do produto</t>
  </si>
  <si>
    <t>COMPLEXIDADE</t>
  </si>
  <si>
    <t>Quanto mais marketplaces, mais desafios operacionais</t>
  </si>
  <si>
    <t>Usuários com 4+ marketplaces enfrentam 126% mais desafios (3.67 vs 1.62)</t>
  </si>
  <si>
    <t>Desenvolver sistema de sincronização multi-marketplace como diferencial competitivo</t>
  </si>
  <si>
    <t>DOR CRÍTICA #1</t>
  </si>
  <si>
    <t>55% sofrem com inserção manual de produtos</t>
  </si>
  <si>
    <t>11 de 20 usuários + score de interesse 4.73/5 em automação</t>
  </si>
  <si>
    <t>Publicador automático de produtos é a funcionalidade mais crítica - MVP deve incluir</t>
  </si>
  <si>
    <t>DOR CRÍTICA #2</t>
  </si>
  <si>
    <t>40% lutam para atualizar estoque em múltiplas plataformas</t>
  </si>
  <si>
    <t>8 de 20 usuários + score de interesse 4.71/5</t>
  </si>
  <si>
    <t>Sistema de sincronização de estoque em tempo real é essencial</t>
  </si>
  <si>
    <t>OPORTUNIDADE LOCAL</t>
  </si>
  <si>
    <t>Marketplaces portugueses são relevantes (OLX 45%, Facebook 40%)</t>
  </si>
  <si>
    <t>Combinação OLX + Facebook atinge 85% dos usuários locais</t>
  </si>
  <si>
    <t>Integração com marketplaces locais é diferencial vs concorrentes internacionais</t>
  </si>
  <si>
    <t>PERFIL USUÁRIO</t>
  </si>
  <si>
    <t>85% são iniciantes/intermediários com catálogos pequenos</t>
  </si>
  <si>
    <t>50% tem &lt;1 ano experiência, 85% tem &lt;10 produtos</t>
  </si>
  <si>
    <t>Onboarding deve ser extremamente simples - foco em facilitar primeiros passos</t>
  </si>
  <si>
    <t>TEMPO</t>
  </si>
  <si>
    <t>60% gastam menos de 1 hora atualizando - mas querem automatizar</t>
  </si>
  <si>
    <t>12 de 20 gastam &lt;1h, mas score médio de interesse em automação é 4.42/5</t>
  </si>
  <si>
    <t>Mostrar ROI imediato - mesmo pequenas economias de tempo são valiosas</t>
  </si>
  <si>
    <t>EARLY ADOPTERS</t>
  </si>
  <si>
    <t>Usuários com alto tempo gasto (10h+) têm interesse máximo</t>
  </si>
  <si>
    <t>Score perfeito 5.0/5 em todas funcionalidades de automação</t>
  </si>
  <si>
    <t>Identificar e priorizar power users como beta testers e evangelistas</t>
  </si>
  <si>
    <t>FUNCIONALIDADES</t>
  </si>
  <si>
    <t>Três pilares: Publicação (4.42), Atualização (4.21), Relatórios (4.05)</t>
  </si>
  <si>
    <t>Todos acima de 4.0/5 - alto interesse generalizado</t>
  </si>
  <si>
    <t>Roadmap deve incluir os três pilares, priorizando publicação e atualização</t>
  </si>
  <si>
    <t>ESCALA</t>
  </si>
  <si>
    <t>Vendedores experientes (5+ anos) escalam para 10-200+ produtos</t>
  </si>
  <si>
    <t>100% dos experientes têm catálogos maiores</t>
  </si>
  <si>
    <t>Arquitetura deve suportar crescimento - planos de pricing escalonados por volume</t>
  </si>
  <si>
    <t>Marketplace dominante</t>
  </si>
  <si>
    <t>Segmento maior, máxima complexidade</t>
  </si>
  <si>
    <t>Respostas Totais</t>
  </si>
  <si>
    <t>Conclusão</t>
  </si>
  <si>
    <t>Gerir mensagens</t>
  </si>
  <si>
    <t>Inventário em tempo real</t>
  </si>
  <si>
    <t>Atualizar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</si>
</sst>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FFD93D"/>
        <bgColor rgb="FFFFD93D"/>
      </patternFill>
    </fill>
    <fill>
      <patternFill patternType="solid">
        <fgColor rgb="FFFF6B6B"/>
        <bgColor rgb="FFFF6B6B"/>
      </patternFill>
    </fill>
    <fill>
      <patternFill patternType="solid">
        <fgColor rgb="FFA8E6CF"/>
        <bgColor rgb="FFA8E6CF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9C4"/>
        <bgColor rgb="FFFFF9C4"/>
      </patternFill>
    </fill>
    <fill>
      <patternFill patternType="solid">
        <fgColor rgb="FFE0F2F1"/>
        <bgColor rgb="FFE0F2F1"/>
      </patternFill>
    </fill>
    <fill>
      <patternFill patternType="solid">
        <fgColor rgb="FFFCE4EC"/>
        <bgColor rgb="FFFCE4EC"/>
      </patternFill>
    </fill>
    <fill>
      <patternFill patternType="solid">
        <fgColor rgb="FFF1F8E9"/>
        <bgColor rgb="FFF1F8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Distribuição do Tempo Gasto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[1]Visualizações!$B$33</c:f>
              <c:strCache>
                <c:ptCount val="1"/>
                <c:pt idx="0">
                  <c:v>Percentagem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[1]Visualizações!$A$34:$A$37</c:f>
              <c:strCache>
                <c:ptCount val="4"/>
                <c:pt idx="0">
                  <c:v>Menos de 1 hora</c:v>
                </c:pt>
                <c:pt idx="1">
                  <c:v>1-2 horas</c:v>
                </c:pt>
                <c:pt idx="2">
                  <c:v>5-10 horas</c:v>
                </c:pt>
                <c:pt idx="3">
                  <c:v>Mais de 10 horas</c:v>
                </c:pt>
              </c:strCache>
            </c:strRef>
          </c:cat>
          <c:val>
            <c:numRef>
              <c:f>[1]Visualizações!$B$34:$B$37</c:f>
              <c:numCache>
                <c:formatCode>General</c:formatCode>
                <c:ptCount val="4"/>
                <c:pt idx="0">
                  <c:v>0.5714285714285714</c:v>
                </c:pt>
                <c:pt idx="1">
                  <c:v>0.2857142857142857</c:v>
                </c:pt>
                <c:pt idx="2">
                  <c:v>4.7619047619047623E-2</c:v>
                </c:pt>
                <c:pt idx="3">
                  <c:v>4.7619047619047623E-2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E-4D7B-95BE-EDD100CDB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Tempo por Atualização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Percentagem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Interesse em Funcionalidades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[1]Visualizações!$B$25</c:f>
              <c:strCache>
                <c:ptCount val="1"/>
                <c:pt idx="0">
                  <c:v>Pontuação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[1]Visualizações!$A$26:$A$28</c:f>
              <c:strCache>
                <c:ptCount val="3"/>
                <c:pt idx="0">
                  <c:v>Publicação automática</c:v>
                </c:pt>
                <c:pt idx="1">
                  <c:v>Atualização automática</c:v>
                </c:pt>
                <c:pt idx="2">
                  <c:v>Relatórios por marketplace</c:v>
                </c:pt>
              </c:strCache>
            </c:strRef>
          </c:cat>
          <c:val>
            <c:numRef>
              <c:f>[1]Visualizações!$B$26:$B$28</c:f>
              <c:numCache>
                <c:formatCode>General</c:formatCode>
                <c:ptCount val="3"/>
                <c:pt idx="0">
                  <c:v>4.42</c:v>
                </c:pt>
                <c:pt idx="1">
                  <c:v>4.21</c:v>
                </c:pt>
                <c:pt idx="2">
                  <c:v>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E-4C49-AD6B-0D3A3AC3C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Funcionalidades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Pontuação (1-5)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Marketplaces</a:t>
            </a:r>
            <a:r>
              <a:rPr lang="en-GB" baseline="0"/>
              <a:t> usados</a:t>
            </a:r>
            <a:endParaRPr lang="en-GB"/>
          </a:p>
        </c:rich>
      </c:tx>
      <c:layout>
        <c:manualLayout>
          <c:xMode val="edge"/>
          <c:yMode val="edge"/>
          <c:x val="0.74138487078627935"/>
          <c:y val="0.1646296296296296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476307293208702E-2"/>
          <c:y val="5.174074074074074E-2"/>
          <c:w val="0.67227844041224316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Padrões_Identificados!$B$2:$B$7</c:f>
              <c:strCache>
                <c:ptCount val="6"/>
                <c:pt idx="0">
                  <c:v>Amazon</c:v>
                </c:pt>
                <c:pt idx="1">
                  <c:v>OLX</c:v>
                </c:pt>
                <c:pt idx="2">
                  <c:v>Facebook Marketplace</c:v>
                </c:pt>
                <c:pt idx="3">
                  <c:v>Worten Marketplace</c:v>
                </c:pt>
                <c:pt idx="4">
                  <c:v>eBay</c:v>
                </c:pt>
                <c:pt idx="5">
                  <c:v>Etsy</c:v>
                </c:pt>
              </c:strCache>
            </c:strRef>
          </c:cat>
          <c:val>
            <c:numRef>
              <c:f>Padrões_Identificados!$C$2:$C$7</c:f>
              <c:numCache>
                <c:formatCode>General</c:formatCode>
                <c:ptCount val="6"/>
                <c:pt idx="0">
                  <c:v>19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D-4CB8-A0DA-120699145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Número de Users</a:t>
                </a:r>
              </a:p>
            </c:rich>
          </c:tx>
          <c:layout>
            <c:manualLayout>
              <c:xMode val="edge"/>
              <c:yMode val="edge"/>
              <c:x val="6.7144609398130523E-3"/>
              <c:y val="0.3163907407407406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Desafios Mais Frequentes</a:t>
            </a:r>
          </a:p>
        </c:rich>
      </c:tx>
      <c:layout>
        <c:manualLayout>
          <c:xMode val="edge"/>
          <c:yMode val="edge"/>
          <c:x val="0.69090215467252647"/>
          <c:y val="0.19248121360797418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2299741602067181E-2"/>
          <c:y val="0.10545651285087905"/>
          <c:w val="0.63261137900398112"/>
          <c:h val="0.84280266181674635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Padrões_Identificados!$B$23:$B$27</c:f>
              <c:strCache>
                <c:ptCount val="5"/>
                <c:pt idx="0">
                  <c:v>Inserir produtos manualmente</c:v>
                </c:pt>
                <c:pt idx="1">
                  <c:v>Atualizar stock</c:v>
                </c:pt>
                <c:pt idx="2">
                  <c:v>Sincronizar produtos/descrições</c:v>
                </c:pt>
                <c:pt idx="3">
                  <c:v>Gerir mensagens</c:v>
                </c:pt>
                <c:pt idx="4">
                  <c:v>Inventário em tempo real</c:v>
                </c:pt>
              </c:strCache>
            </c:strRef>
          </c:cat>
          <c:val>
            <c:numRef>
              <c:f>Padrões_Identificados!$C$23:$C$27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F-4F8B-BFB6-0A6B446B7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Desafio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Número de Usuários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2.xml"/><Relationship Id="rId7" Type="http://schemas.openxmlformats.org/officeDocument/2006/relationships/chart" Target="../charts/chart3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41</xdr:row>
      <xdr:rowOff>7620</xdr:rowOff>
    </xdr:from>
    <xdr:ext cx="7780020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" y="7566660"/>
          <a:ext cx="7780020" cy="42862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304800</xdr:colOff>
      <xdr:row>1</xdr:row>
      <xdr:rowOff>175260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7CFECF-55AF-4F6C-A13F-80340BC18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388620</xdr:colOff>
      <xdr:row>1</xdr:row>
      <xdr:rowOff>152400</xdr:rowOff>
    </xdr:from>
    <xdr:ext cx="43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C2C756-A8E1-4794-8BCE-024F95BDE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9</xdr:col>
      <xdr:colOff>327660</xdr:colOff>
      <xdr:row>21</xdr:row>
      <xdr:rowOff>114300</xdr:rowOff>
    </xdr:from>
    <xdr:to>
      <xdr:col>16</xdr:col>
      <xdr:colOff>122272</xdr:colOff>
      <xdr:row>37</xdr:row>
      <xdr:rowOff>167900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5A9BBA-3CB3-DCA8-3188-DEAB509A1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4060" y="4000500"/>
          <a:ext cx="4061812" cy="2994920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251460</xdr:colOff>
      <xdr:row>20</xdr:row>
      <xdr:rowOff>45720</xdr:rowOff>
    </xdr:from>
    <xdr:to>
      <xdr:col>8</xdr:col>
      <xdr:colOff>471246</xdr:colOff>
      <xdr:row>40</xdr:row>
      <xdr:rowOff>21464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039096-A8F5-4270-9D7B-DB26D0D6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" y="3749040"/>
          <a:ext cx="5096586" cy="3648584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</xdr:row>
      <xdr:rowOff>53340</xdr:rowOff>
    </xdr:from>
    <xdr:to>
      <xdr:col>25</xdr:col>
      <xdr:colOff>419834</xdr:colOff>
      <xdr:row>21</xdr:row>
      <xdr:rowOff>63377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3CB7C4-BA35-7FC6-9FF8-5793DEB6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01300" y="281940"/>
          <a:ext cx="5258534" cy="3667637"/>
        </a:xfrm>
        <a:prstGeom prst="rect">
          <a:avLst/>
        </a:prstGeom>
      </xdr:spPr>
    </xdr:pic>
    <xdr:clientData/>
  </xdr:twoCellAnchor>
  <xdr:oneCellAnchor>
    <xdr:from>
      <xdr:col>17</xdr:col>
      <xdr:colOff>434340</xdr:colOff>
      <xdr:row>24</xdr:row>
      <xdr:rowOff>0</xdr:rowOff>
    </xdr:from>
    <xdr:ext cx="567432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E1E8B2-082A-4EA3-8C44-07916E902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594360</xdr:colOff>
      <xdr:row>42</xdr:row>
      <xdr:rowOff>7620</xdr:rowOff>
    </xdr:from>
    <xdr:ext cx="5897880" cy="28371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7D1832-0044-4A02-A17B-EC3F2CC1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ui_h\Downloads\INOVEL_Analise_Dados_Modificado_05c26daee77f4542a6d7d40a63b1e7b7.xlsx" TargetMode="External"/><Relationship Id="rId1" Type="http://schemas.openxmlformats.org/officeDocument/2006/relationships/externalLinkPath" Target="/Users/rui_h/Downloads/INOVEL_Analise_Dados_Modificado_05c26daee77f4542a6d7d40a63b1e7b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drões_Identificados"/>
      <sheetName val="Objetivos_Baseados_em_Dados"/>
      <sheetName val="Resumo"/>
      <sheetName val="Visualizações"/>
    </sheetNames>
    <sheetDataSet>
      <sheetData sheetId="0"/>
      <sheetData sheetId="1"/>
      <sheetData sheetId="2"/>
      <sheetData sheetId="3">
        <row r="5">
          <cell r="B5" t="str">
            <v>Percentagem</v>
          </cell>
        </row>
        <row r="6">
          <cell r="A6" t="str">
            <v>Amazon</v>
          </cell>
          <cell r="B6">
            <v>0.90476190476190477</v>
          </cell>
        </row>
        <row r="7">
          <cell r="A7" t="str">
            <v>OLX</v>
          </cell>
          <cell r="B7">
            <v>0.42857142857142849</v>
          </cell>
        </row>
        <row r="8">
          <cell r="A8" t="str">
            <v>Facebook Marketplace</v>
          </cell>
          <cell r="B8">
            <v>0.38095238095238088</v>
          </cell>
        </row>
        <row r="9">
          <cell r="A9" t="str">
            <v>Worten Marketplace</v>
          </cell>
          <cell r="B9">
            <v>0.2857142857142857</v>
          </cell>
        </row>
        <row r="10">
          <cell r="A10" t="str">
            <v>eBay</v>
          </cell>
          <cell r="B10">
            <v>0.14285714285714279</v>
          </cell>
        </row>
        <row r="15">
          <cell r="B15" t="str">
            <v>Percentagem</v>
          </cell>
        </row>
        <row r="16">
          <cell r="A16" t="str">
            <v>Inserir produtos manualmente</v>
          </cell>
          <cell r="B16">
            <v>0.52380952380952384</v>
          </cell>
        </row>
        <row r="17">
          <cell r="A17" t="str">
            <v>Atualizar stock</v>
          </cell>
          <cell r="B17">
            <v>0.38095238095238088</v>
          </cell>
        </row>
        <row r="18">
          <cell r="A18" t="str">
            <v>Sincronizar produtos/descrições</v>
          </cell>
          <cell r="B18">
            <v>0.33333333333333331</v>
          </cell>
        </row>
        <row r="19">
          <cell r="A19" t="str">
            <v>Gerir mensagens</v>
          </cell>
          <cell r="B19">
            <v>0.33333333333333331</v>
          </cell>
        </row>
        <row r="20">
          <cell r="A20" t="str">
            <v>Inventário em tempo real</v>
          </cell>
          <cell r="B20">
            <v>0.2857142857142857</v>
          </cell>
        </row>
        <row r="25">
          <cell r="B25" t="str">
            <v>Pontuação</v>
          </cell>
        </row>
        <row r="26">
          <cell r="A26" t="str">
            <v>Publicação automática</v>
          </cell>
          <cell r="B26">
            <v>4.42</v>
          </cell>
        </row>
        <row r="27">
          <cell r="A27" t="str">
            <v>Atualização automática</v>
          </cell>
          <cell r="B27">
            <v>4.21</v>
          </cell>
        </row>
        <row r="28">
          <cell r="A28" t="str">
            <v>Relatórios por marketplace</v>
          </cell>
          <cell r="B28">
            <v>4.05</v>
          </cell>
        </row>
        <row r="33">
          <cell r="B33" t="str">
            <v>Percentagem</v>
          </cell>
        </row>
        <row r="34">
          <cell r="A34" t="str">
            <v>Menos de 1 hora</v>
          </cell>
          <cell r="B34">
            <v>0.5714285714285714</v>
          </cell>
        </row>
        <row r="35">
          <cell r="A35" t="str">
            <v>1-2 horas</v>
          </cell>
          <cell r="B35">
            <v>0.2857142857142857</v>
          </cell>
        </row>
        <row r="36">
          <cell r="A36" t="str">
            <v>5-10 horas</v>
          </cell>
          <cell r="B36">
            <v>4.7619047619047623E-2</v>
          </cell>
        </row>
        <row r="37">
          <cell r="A37" t="str">
            <v>Mais de 10 horas</v>
          </cell>
          <cell r="B37">
            <v>4.7619047619047623E-2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B28" sqref="B28"/>
    </sheetView>
  </sheetViews>
  <sheetFormatPr defaultRowHeight="14.4" x14ac:dyDescent="0.3"/>
  <cols>
    <col min="1" max="1" width="25" customWidth="1"/>
    <col min="2" max="2" width="35" customWidth="1"/>
    <col min="3" max="4" width="12" customWidth="1"/>
    <col min="5" max="5" width="50" customWidth="1"/>
  </cols>
  <sheetData>
    <row r="1" spans="1:5" ht="30" customHeight="1" x14ac:dyDescent="0.3">
      <c r="A1" s="3" t="s">
        <v>0</v>
      </c>
      <c r="B1" s="3" t="s">
        <v>1</v>
      </c>
      <c r="C1" s="3" t="s">
        <v>2</v>
      </c>
      <c r="D1" s="29" t="s">
        <v>3</v>
      </c>
      <c r="E1" s="29" t="s">
        <v>203</v>
      </c>
    </row>
    <row r="2" spans="1:5" x14ac:dyDescent="0.3">
      <c r="A2" s="4" t="s">
        <v>4</v>
      </c>
      <c r="B2" s="4" t="s">
        <v>5</v>
      </c>
      <c r="C2" s="4">
        <v>19</v>
      </c>
      <c r="D2" s="28">
        <f xml:space="preserve"> C2 / $B$38</f>
        <v>0.90476190476190477</v>
      </c>
      <c r="E2" s="4" t="s">
        <v>200</v>
      </c>
    </row>
    <row r="3" spans="1:5" x14ac:dyDescent="0.3">
      <c r="A3" s="4" t="s">
        <v>4</v>
      </c>
      <c r="B3" s="4" t="s">
        <v>6</v>
      </c>
      <c r="C3" s="4">
        <v>9</v>
      </c>
      <c r="D3" s="28">
        <f xml:space="preserve"> C3 / $B$38</f>
        <v>0.42857142857142855</v>
      </c>
      <c r="E3" s="4" t="s">
        <v>7</v>
      </c>
    </row>
    <row r="4" spans="1:5" x14ac:dyDescent="0.3">
      <c r="A4" s="4" t="s">
        <v>4</v>
      </c>
      <c r="B4" s="4" t="s">
        <v>8</v>
      </c>
      <c r="C4" s="4">
        <v>8</v>
      </c>
      <c r="D4" s="28">
        <f t="shared" ref="D4:D34" si="0" xml:space="preserve"> C4 / $B$38</f>
        <v>0.38095238095238093</v>
      </c>
      <c r="E4" s="4" t="s">
        <v>9</v>
      </c>
    </row>
    <row r="5" spans="1:5" x14ac:dyDescent="0.3">
      <c r="A5" s="4" t="s">
        <v>4</v>
      </c>
      <c r="B5" s="4" t="s">
        <v>10</v>
      </c>
      <c r="C5" s="4">
        <v>6</v>
      </c>
      <c r="D5" s="28">
        <f t="shared" si="0"/>
        <v>0.2857142857142857</v>
      </c>
      <c r="E5" s="4" t="s">
        <v>11</v>
      </c>
    </row>
    <row r="6" spans="1:5" x14ac:dyDescent="0.3">
      <c r="A6" s="4" t="s">
        <v>4</v>
      </c>
      <c r="B6" s="4" t="s">
        <v>12</v>
      </c>
      <c r="C6" s="4">
        <v>3</v>
      </c>
      <c r="D6" s="28">
        <f t="shared" si="0"/>
        <v>0.14285714285714285</v>
      </c>
      <c r="E6" s="4" t="s">
        <v>13</v>
      </c>
    </row>
    <row r="7" spans="1:5" x14ac:dyDescent="0.3">
      <c r="A7" s="4" t="s">
        <v>4</v>
      </c>
      <c r="B7" s="4" t="s">
        <v>14</v>
      </c>
      <c r="C7" s="4">
        <v>0</v>
      </c>
      <c r="D7" s="28">
        <f t="shared" si="0"/>
        <v>0</v>
      </c>
      <c r="E7" s="4" t="s">
        <v>15</v>
      </c>
    </row>
    <row r="8" spans="1:5" x14ac:dyDescent="0.3">
      <c r="A8" s="4" t="s">
        <v>16</v>
      </c>
      <c r="B8" s="4" t="s">
        <v>17</v>
      </c>
      <c r="C8" s="4">
        <v>8</v>
      </c>
      <c r="D8" s="28">
        <f t="shared" si="0"/>
        <v>0.38095238095238093</v>
      </c>
      <c r="E8" s="4" t="s">
        <v>18</v>
      </c>
    </row>
    <row r="9" spans="1:5" x14ac:dyDescent="0.3">
      <c r="A9" s="4" t="s">
        <v>16</v>
      </c>
      <c r="B9" s="4" t="s">
        <v>19</v>
      </c>
      <c r="C9" s="4">
        <v>4</v>
      </c>
      <c r="D9" s="28">
        <f t="shared" si="0"/>
        <v>0.19047619047619047</v>
      </c>
      <c r="E9" s="4" t="s">
        <v>20</v>
      </c>
    </row>
    <row r="10" spans="1:5" x14ac:dyDescent="0.3">
      <c r="A10" s="4" t="s">
        <v>16</v>
      </c>
      <c r="B10" s="4" t="s">
        <v>21</v>
      </c>
      <c r="C10" s="4">
        <v>5</v>
      </c>
      <c r="D10" s="28">
        <f t="shared" si="0"/>
        <v>0.23809523809523808</v>
      </c>
      <c r="E10" s="4" t="s">
        <v>22</v>
      </c>
    </row>
    <row r="11" spans="1:5" x14ac:dyDescent="0.3">
      <c r="A11" s="4" t="s">
        <v>16</v>
      </c>
      <c r="B11" s="4" t="s">
        <v>23</v>
      </c>
      <c r="C11" s="4">
        <v>3</v>
      </c>
      <c r="D11" s="28">
        <f t="shared" si="0"/>
        <v>0.14285714285714285</v>
      </c>
      <c r="E11" s="4" t="s">
        <v>201</v>
      </c>
    </row>
    <row r="12" spans="1:5" x14ac:dyDescent="0.3">
      <c r="A12" s="4" t="s">
        <v>24</v>
      </c>
      <c r="B12" s="4" t="s">
        <v>25</v>
      </c>
      <c r="C12" s="4">
        <v>17</v>
      </c>
      <c r="D12" s="28">
        <f t="shared" si="0"/>
        <v>0.80952380952380953</v>
      </c>
      <c r="E12" s="4" t="s">
        <v>26</v>
      </c>
    </row>
    <row r="13" spans="1:5" x14ac:dyDescent="0.3">
      <c r="A13" s="4" t="s">
        <v>24</v>
      </c>
      <c r="B13" s="4" t="s">
        <v>27</v>
      </c>
      <c r="C13" s="4">
        <v>1</v>
      </c>
      <c r="D13" s="28">
        <f t="shared" si="0"/>
        <v>4.7619047619047616E-2</v>
      </c>
      <c r="E13" s="4" t="s">
        <v>28</v>
      </c>
    </row>
    <row r="14" spans="1:5" x14ac:dyDescent="0.3">
      <c r="A14" s="4" t="s">
        <v>24</v>
      </c>
      <c r="B14" s="4" t="s">
        <v>29</v>
      </c>
      <c r="C14" s="4">
        <v>1</v>
      </c>
      <c r="D14" s="28">
        <f t="shared" si="0"/>
        <v>4.7619047619047616E-2</v>
      </c>
      <c r="E14" s="4" t="s">
        <v>30</v>
      </c>
    </row>
    <row r="15" spans="1:5" x14ac:dyDescent="0.3">
      <c r="A15" s="4" t="s">
        <v>24</v>
      </c>
      <c r="B15" s="4" t="s">
        <v>31</v>
      </c>
      <c r="C15" s="4">
        <v>1</v>
      </c>
      <c r="D15" s="28">
        <f t="shared" si="0"/>
        <v>4.7619047619047616E-2</v>
      </c>
      <c r="E15" s="4" t="s">
        <v>32</v>
      </c>
    </row>
    <row r="16" spans="1:5" x14ac:dyDescent="0.3">
      <c r="A16" s="4" t="s">
        <v>33</v>
      </c>
      <c r="B16" s="4" t="s">
        <v>34</v>
      </c>
      <c r="C16" s="4">
        <v>10</v>
      </c>
      <c r="D16" s="28">
        <f t="shared" si="0"/>
        <v>0.47619047619047616</v>
      </c>
      <c r="E16" s="4" t="s">
        <v>35</v>
      </c>
    </row>
    <row r="17" spans="1:5" x14ac:dyDescent="0.3">
      <c r="A17" s="4" t="s">
        <v>33</v>
      </c>
      <c r="B17" s="4" t="s">
        <v>36</v>
      </c>
      <c r="C17" s="4">
        <v>7</v>
      </c>
      <c r="D17" s="28">
        <f t="shared" si="0"/>
        <v>0.33333333333333331</v>
      </c>
      <c r="E17" s="4" t="s">
        <v>37</v>
      </c>
    </row>
    <row r="18" spans="1:5" x14ac:dyDescent="0.3">
      <c r="A18" s="4" t="s">
        <v>33</v>
      </c>
      <c r="B18" s="4" t="s">
        <v>38</v>
      </c>
      <c r="C18" s="4">
        <v>3</v>
      </c>
      <c r="D18" s="28">
        <f t="shared" si="0"/>
        <v>0.14285714285714285</v>
      </c>
      <c r="E18" s="4" t="s">
        <v>39</v>
      </c>
    </row>
    <row r="19" spans="1:5" x14ac:dyDescent="0.3">
      <c r="A19" s="4" t="s">
        <v>40</v>
      </c>
      <c r="B19" s="4" t="s">
        <v>41</v>
      </c>
      <c r="C19" s="4">
        <v>12</v>
      </c>
      <c r="D19" s="28">
        <f t="shared" si="0"/>
        <v>0.5714285714285714</v>
      </c>
      <c r="E19" s="4" t="s">
        <v>42</v>
      </c>
    </row>
    <row r="20" spans="1:5" x14ac:dyDescent="0.3">
      <c r="A20" s="4" t="s">
        <v>40</v>
      </c>
      <c r="B20" s="4" t="s">
        <v>43</v>
      </c>
      <c r="C20" s="4">
        <v>6</v>
      </c>
      <c r="D20" s="28">
        <f t="shared" si="0"/>
        <v>0.2857142857142857</v>
      </c>
      <c r="E20" s="4" t="s">
        <v>44</v>
      </c>
    </row>
    <row r="21" spans="1:5" x14ac:dyDescent="0.3">
      <c r="A21" s="4" t="s">
        <v>40</v>
      </c>
      <c r="B21" s="4" t="s">
        <v>45</v>
      </c>
      <c r="C21" s="4">
        <v>1</v>
      </c>
      <c r="D21" s="28">
        <f t="shared" si="0"/>
        <v>4.7619047619047616E-2</v>
      </c>
      <c r="E21" s="4" t="s">
        <v>46</v>
      </c>
    </row>
    <row r="22" spans="1:5" x14ac:dyDescent="0.3">
      <c r="A22" s="4" t="s">
        <v>40</v>
      </c>
      <c r="B22" s="4" t="s">
        <v>47</v>
      </c>
      <c r="C22" s="4">
        <v>1</v>
      </c>
      <c r="D22" s="28">
        <f t="shared" si="0"/>
        <v>4.7619047619047616E-2</v>
      </c>
      <c r="E22" s="4" t="s">
        <v>48</v>
      </c>
    </row>
    <row r="23" spans="1:5" x14ac:dyDescent="0.3">
      <c r="A23" s="4" t="s">
        <v>49</v>
      </c>
      <c r="B23" s="4" t="s">
        <v>50</v>
      </c>
      <c r="C23" s="4">
        <v>11</v>
      </c>
      <c r="D23" s="28">
        <f t="shared" si="0"/>
        <v>0.52380952380952384</v>
      </c>
      <c r="E23" s="4" t="s">
        <v>51</v>
      </c>
    </row>
    <row r="24" spans="1:5" x14ac:dyDescent="0.3">
      <c r="A24" s="4" t="s">
        <v>49</v>
      </c>
      <c r="B24" s="4" t="s">
        <v>206</v>
      </c>
      <c r="C24" s="4">
        <v>8</v>
      </c>
      <c r="D24" s="28">
        <f t="shared" si="0"/>
        <v>0.38095238095238093</v>
      </c>
      <c r="E24" s="4" t="s">
        <v>52</v>
      </c>
    </row>
    <row r="25" spans="1:5" x14ac:dyDescent="0.3">
      <c r="A25" s="4" t="s">
        <v>49</v>
      </c>
      <c r="B25" s="4" t="s">
        <v>53</v>
      </c>
      <c r="C25" s="4">
        <v>7</v>
      </c>
      <c r="D25" s="28">
        <f t="shared" si="0"/>
        <v>0.33333333333333331</v>
      </c>
      <c r="E25" s="4" t="s">
        <v>54</v>
      </c>
    </row>
    <row r="26" spans="1:5" x14ac:dyDescent="0.3">
      <c r="A26" s="4" t="s">
        <v>49</v>
      </c>
      <c r="B26" s="4" t="s">
        <v>204</v>
      </c>
      <c r="C26" s="4">
        <v>7</v>
      </c>
      <c r="D26" s="28">
        <f t="shared" si="0"/>
        <v>0.33333333333333331</v>
      </c>
      <c r="E26" s="4" t="s">
        <v>55</v>
      </c>
    </row>
    <row r="27" spans="1:5" x14ac:dyDescent="0.3">
      <c r="A27" s="4" t="s">
        <v>49</v>
      </c>
      <c r="B27" s="4" t="s">
        <v>205</v>
      </c>
      <c r="C27" s="4">
        <v>6</v>
      </c>
      <c r="D27" s="28">
        <f t="shared" si="0"/>
        <v>0.2857142857142857</v>
      </c>
      <c r="E27" s="4" t="s">
        <v>56</v>
      </c>
    </row>
    <row r="28" spans="1:5" x14ac:dyDescent="0.3">
      <c r="A28" s="4" t="s">
        <v>57</v>
      </c>
      <c r="B28" s="4" t="s">
        <v>58</v>
      </c>
      <c r="C28" s="4">
        <v>4.42</v>
      </c>
      <c r="D28" s="28">
        <f t="shared" si="0"/>
        <v>0.21047619047619048</v>
      </c>
      <c r="E28" s="4" t="s">
        <v>59</v>
      </c>
    </row>
    <row r="29" spans="1:5" x14ac:dyDescent="0.3">
      <c r="A29" s="4" t="s">
        <v>57</v>
      </c>
      <c r="B29" s="4" t="s">
        <v>60</v>
      </c>
      <c r="C29" s="4">
        <v>4.21</v>
      </c>
      <c r="D29" s="28">
        <f t="shared" si="0"/>
        <v>0.20047619047619047</v>
      </c>
      <c r="E29" s="4" t="s">
        <v>61</v>
      </c>
    </row>
    <row r="30" spans="1:5" x14ac:dyDescent="0.3">
      <c r="A30" s="4" t="s">
        <v>57</v>
      </c>
      <c r="B30" s="4" t="s">
        <v>62</v>
      </c>
      <c r="C30" s="4">
        <v>4.05</v>
      </c>
      <c r="D30" s="28">
        <f t="shared" si="0"/>
        <v>0.19285714285714284</v>
      </c>
      <c r="E30" s="4" t="s">
        <v>63</v>
      </c>
    </row>
    <row r="31" spans="1:5" x14ac:dyDescent="0.3">
      <c r="A31" s="4" t="s">
        <v>64</v>
      </c>
      <c r="B31" s="4" t="s">
        <v>65</v>
      </c>
      <c r="C31" s="4">
        <v>2.38</v>
      </c>
      <c r="D31" s="28">
        <f t="shared" si="0"/>
        <v>0.11333333333333333</v>
      </c>
      <c r="E31" s="4" t="s">
        <v>66</v>
      </c>
    </row>
    <row r="32" spans="1:5" x14ac:dyDescent="0.3">
      <c r="A32" s="4" t="s">
        <v>64</v>
      </c>
      <c r="B32" s="4" t="s">
        <v>67</v>
      </c>
      <c r="C32" s="4">
        <v>1.62</v>
      </c>
      <c r="D32" s="28">
        <f t="shared" si="0"/>
        <v>7.7142857142857152E-2</v>
      </c>
      <c r="E32" s="4" t="s">
        <v>68</v>
      </c>
    </row>
    <row r="33" spans="1:5" x14ac:dyDescent="0.3">
      <c r="A33" s="4" t="s">
        <v>64</v>
      </c>
      <c r="B33" s="4" t="s">
        <v>69</v>
      </c>
      <c r="C33" s="4">
        <v>4.7300000000000004</v>
      </c>
      <c r="D33" s="28">
        <f t="shared" si="0"/>
        <v>0.22523809523809527</v>
      </c>
      <c r="E33" s="4" t="s">
        <v>70</v>
      </c>
    </row>
    <row r="34" spans="1:5" x14ac:dyDescent="0.3">
      <c r="A34" s="4" t="s">
        <v>64</v>
      </c>
      <c r="B34" s="4" t="s">
        <v>71</v>
      </c>
      <c r="C34" s="4">
        <v>5</v>
      </c>
      <c r="D34" s="28">
        <f t="shared" si="0"/>
        <v>0.23809523809523808</v>
      </c>
      <c r="E34" s="4" t="s">
        <v>72</v>
      </c>
    </row>
    <row r="38" spans="1:5" x14ac:dyDescent="0.3">
      <c r="A38" s="27" t="s">
        <v>202</v>
      </c>
      <c r="B38">
        <v>21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4" x14ac:dyDescent="0.3"/>
  <cols>
    <col min="1" max="1" width="5" customWidth="1"/>
    <col min="2" max="2" width="25" customWidth="1"/>
    <col min="3" max="3" width="35" customWidth="1"/>
    <col min="4" max="4" width="45" customWidth="1"/>
    <col min="5" max="5" width="25" customWidth="1"/>
    <col min="6" max="6" width="50" customWidth="1"/>
    <col min="7" max="7" width="12" customWidth="1"/>
  </cols>
  <sheetData>
    <row r="1" spans="1:7" ht="30" customHeight="1" x14ac:dyDescent="0.3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 ht="60" customHeight="1" x14ac:dyDescent="0.3">
      <c r="A2" s="6">
        <v>1</v>
      </c>
      <c r="B2" s="6" t="s">
        <v>80</v>
      </c>
      <c r="C2" s="6" t="s">
        <v>81</v>
      </c>
      <c r="D2" s="6" t="s">
        <v>82</v>
      </c>
      <c r="E2" s="6" t="s">
        <v>83</v>
      </c>
      <c r="F2" s="6" t="s">
        <v>84</v>
      </c>
      <c r="G2" s="6" t="s">
        <v>85</v>
      </c>
    </row>
    <row r="3" spans="1:7" ht="60" customHeight="1" x14ac:dyDescent="0.3">
      <c r="A3" s="7">
        <v>2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</row>
    <row r="4" spans="1:7" ht="60" customHeight="1" x14ac:dyDescent="0.3">
      <c r="A4" s="7">
        <v>3</v>
      </c>
      <c r="B4" s="7" t="s">
        <v>92</v>
      </c>
      <c r="C4" s="7" t="s">
        <v>93</v>
      </c>
      <c r="D4" s="7" t="s">
        <v>94</v>
      </c>
      <c r="E4" s="7" t="s">
        <v>95</v>
      </c>
      <c r="F4" s="7" t="s">
        <v>96</v>
      </c>
      <c r="G4" s="7" t="s">
        <v>91</v>
      </c>
    </row>
    <row r="5" spans="1:7" ht="60" customHeight="1" x14ac:dyDescent="0.3">
      <c r="A5" s="6">
        <v>4</v>
      </c>
      <c r="B5" s="6" t="s">
        <v>97</v>
      </c>
      <c r="C5" s="6" t="s">
        <v>98</v>
      </c>
      <c r="D5" s="6" t="s">
        <v>99</v>
      </c>
      <c r="E5" s="6" t="s">
        <v>100</v>
      </c>
      <c r="F5" s="6" t="s">
        <v>101</v>
      </c>
      <c r="G5" s="6" t="s">
        <v>85</v>
      </c>
    </row>
    <row r="6" spans="1:7" ht="60" customHeight="1" x14ac:dyDescent="0.3">
      <c r="A6" s="8">
        <v>5</v>
      </c>
      <c r="B6" s="8" t="s">
        <v>102</v>
      </c>
      <c r="C6" s="8" t="s">
        <v>103</v>
      </c>
      <c r="D6" s="8" t="s">
        <v>104</v>
      </c>
      <c r="E6" s="8" t="s">
        <v>105</v>
      </c>
      <c r="F6" s="8" t="s">
        <v>106</v>
      </c>
      <c r="G6" s="8" t="s">
        <v>107</v>
      </c>
    </row>
    <row r="7" spans="1:7" ht="60" customHeight="1" x14ac:dyDescent="0.3">
      <c r="A7" s="7">
        <v>6</v>
      </c>
      <c r="B7" s="7" t="s">
        <v>108</v>
      </c>
      <c r="C7" s="7" t="s">
        <v>109</v>
      </c>
      <c r="D7" s="7" t="s">
        <v>110</v>
      </c>
      <c r="E7" s="7" t="s">
        <v>111</v>
      </c>
      <c r="F7" s="7" t="s">
        <v>112</v>
      </c>
      <c r="G7" s="7" t="s">
        <v>91</v>
      </c>
    </row>
    <row r="8" spans="1:7" ht="60" customHeight="1" x14ac:dyDescent="0.3">
      <c r="A8" s="6">
        <v>7</v>
      </c>
      <c r="B8" s="6" t="s">
        <v>113</v>
      </c>
      <c r="C8" s="6" t="s">
        <v>114</v>
      </c>
      <c r="D8" s="6" t="s">
        <v>115</v>
      </c>
      <c r="E8" s="6" t="s">
        <v>116</v>
      </c>
      <c r="F8" s="6" t="s">
        <v>117</v>
      </c>
      <c r="G8" s="6" t="s">
        <v>85</v>
      </c>
    </row>
    <row r="9" spans="1:7" ht="60" customHeight="1" x14ac:dyDescent="0.3">
      <c r="A9" s="8">
        <v>8</v>
      </c>
      <c r="B9" s="8" t="s">
        <v>118</v>
      </c>
      <c r="C9" s="8" t="s">
        <v>119</v>
      </c>
      <c r="D9" s="8" t="s">
        <v>120</v>
      </c>
      <c r="E9" s="8" t="s">
        <v>121</v>
      </c>
      <c r="F9" s="8" t="s">
        <v>122</v>
      </c>
      <c r="G9" s="8" t="s">
        <v>107</v>
      </c>
    </row>
    <row r="10" spans="1:7" ht="60" customHeight="1" x14ac:dyDescent="0.3">
      <c r="A10" s="6">
        <v>9</v>
      </c>
      <c r="B10" s="6" t="s">
        <v>123</v>
      </c>
      <c r="C10" s="6" t="s">
        <v>124</v>
      </c>
      <c r="D10" s="6" t="s">
        <v>125</v>
      </c>
      <c r="E10" s="6" t="s">
        <v>126</v>
      </c>
      <c r="F10" s="6" t="s">
        <v>127</v>
      </c>
      <c r="G10" s="6" t="s">
        <v>85</v>
      </c>
    </row>
    <row r="11" spans="1:7" ht="60" customHeight="1" x14ac:dyDescent="0.3">
      <c r="A11" s="8">
        <v>10</v>
      </c>
      <c r="B11" s="8" t="s">
        <v>128</v>
      </c>
      <c r="C11" s="8" t="s">
        <v>129</v>
      </c>
      <c r="D11" s="8" t="s">
        <v>130</v>
      </c>
      <c r="E11" s="8" t="s">
        <v>131</v>
      </c>
      <c r="F11" s="8" t="s">
        <v>132</v>
      </c>
      <c r="G11" s="8" t="s">
        <v>107</v>
      </c>
    </row>
    <row r="12" spans="1:7" ht="60" customHeight="1" x14ac:dyDescent="0.3">
      <c r="A12" s="6">
        <v>11</v>
      </c>
      <c r="B12" s="6" t="s">
        <v>133</v>
      </c>
      <c r="C12" s="6" t="s">
        <v>129</v>
      </c>
      <c r="D12" s="6" t="s">
        <v>134</v>
      </c>
      <c r="E12" s="6" t="s">
        <v>116</v>
      </c>
      <c r="F12" s="6" t="s">
        <v>135</v>
      </c>
      <c r="G12" s="6" t="s">
        <v>85</v>
      </c>
    </row>
    <row r="13" spans="1:7" ht="60" customHeight="1" x14ac:dyDescent="0.3">
      <c r="A13" s="6">
        <v>12</v>
      </c>
      <c r="B13" s="6" t="s">
        <v>136</v>
      </c>
      <c r="C13" s="6" t="s">
        <v>137</v>
      </c>
      <c r="D13" s="6" t="s">
        <v>138</v>
      </c>
      <c r="E13" s="6" t="s">
        <v>139</v>
      </c>
      <c r="F13" s="6" t="s">
        <v>140</v>
      </c>
      <c r="G13" s="6" t="s">
        <v>85</v>
      </c>
    </row>
    <row r="14" spans="1:7" ht="60" customHeight="1" x14ac:dyDescent="0.3">
      <c r="A14" s="8">
        <v>13</v>
      </c>
      <c r="B14" s="8" t="s">
        <v>141</v>
      </c>
      <c r="C14" s="8" t="s">
        <v>142</v>
      </c>
      <c r="D14" s="8" t="s">
        <v>143</v>
      </c>
      <c r="E14" s="8" t="s">
        <v>139</v>
      </c>
      <c r="F14" s="8" t="s">
        <v>144</v>
      </c>
      <c r="G14" s="8" t="s">
        <v>107</v>
      </c>
    </row>
    <row r="15" spans="1:7" ht="60" customHeight="1" x14ac:dyDescent="0.3">
      <c r="A15" s="8">
        <v>14</v>
      </c>
      <c r="B15" s="8" t="s">
        <v>145</v>
      </c>
      <c r="C15" s="8" t="s">
        <v>146</v>
      </c>
      <c r="D15" s="8" t="s">
        <v>147</v>
      </c>
      <c r="E15" s="8" t="s">
        <v>148</v>
      </c>
      <c r="F15" s="8" t="s">
        <v>149</v>
      </c>
      <c r="G15" s="8" t="s">
        <v>107</v>
      </c>
    </row>
    <row r="16" spans="1:7" ht="60" customHeight="1" x14ac:dyDescent="0.3">
      <c r="A16" s="8">
        <v>15</v>
      </c>
      <c r="B16" s="8" t="s">
        <v>150</v>
      </c>
      <c r="C16" s="8" t="s">
        <v>151</v>
      </c>
      <c r="D16" s="8" t="s">
        <v>152</v>
      </c>
      <c r="E16" s="8" t="s">
        <v>153</v>
      </c>
      <c r="F16" s="8" t="s">
        <v>154</v>
      </c>
      <c r="G16" s="8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7"/>
  <sheetViews>
    <sheetView topLeftCell="A6" workbookViewId="0">
      <selection activeCell="T47" sqref="T47"/>
    </sheetView>
  </sheetViews>
  <sheetFormatPr defaultRowHeight="14.4" x14ac:dyDescent="0.3"/>
  <sheetData>
    <row r="1" spans="1:1" ht="18" x14ac:dyDescent="0.35">
      <c r="A1" s="1" t="s">
        <v>155</v>
      </c>
    </row>
    <row r="37" spans="1:1" ht="15.6" x14ac:dyDescent="0.3">
      <c r="A37" s="2" t="s">
        <v>156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/>
  </sheetViews>
  <sheetFormatPr defaultRowHeight="14.4" x14ac:dyDescent="0.3"/>
  <cols>
    <col min="1" max="1" width="20" customWidth="1"/>
    <col min="2" max="3" width="50" customWidth="1"/>
    <col min="4" max="4" width="60" customWidth="1"/>
  </cols>
  <sheetData>
    <row r="1" spans="1:4" ht="30" customHeight="1" x14ac:dyDescent="0.3">
      <c r="A1" s="3" t="s">
        <v>0</v>
      </c>
      <c r="B1" s="3" t="s">
        <v>157</v>
      </c>
      <c r="C1" s="3" t="s">
        <v>158</v>
      </c>
      <c r="D1" s="3" t="s">
        <v>159</v>
      </c>
    </row>
    <row r="2" spans="1:4" ht="49.95" customHeight="1" x14ac:dyDescent="0.3">
      <c r="A2" s="9" t="s">
        <v>160</v>
      </c>
      <c r="B2" s="10" t="s">
        <v>161</v>
      </c>
      <c r="C2" s="10" t="s">
        <v>162</v>
      </c>
      <c r="D2" s="10" t="s">
        <v>163</v>
      </c>
    </row>
    <row r="3" spans="1:4" ht="49.95" customHeight="1" x14ac:dyDescent="0.3">
      <c r="A3" s="11" t="s">
        <v>164</v>
      </c>
      <c r="B3" s="12" t="s">
        <v>165</v>
      </c>
      <c r="C3" s="12" t="s">
        <v>166</v>
      </c>
      <c r="D3" s="12" t="s">
        <v>167</v>
      </c>
    </row>
    <row r="4" spans="1:4" ht="49.95" customHeight="1" x14ac:dyDescent="0.3">
      <c r="A4" s="13" t="s">
        <v>168</v>
      </c>
      <c r="B4" s="14" t="s">
        <v>169</v>
      </c>
      <c r="C4" s="14" t="s">
        <v>170</v>
      </c>
      <c r="D4" s="14" t="s">
        <v>171</v>
      </c>
    </row>
    <row r="5" spans="1:4" ht="49.95" customHeight="1" x14ac:dyDescent="0.3">
      <c r="A5" s="13" t="s">
        <v>172</v>
      </c>
      <c r="B5" s="14" t="s">
        <v>173</v>
      </c>
      <c r="C5" s="14" t="s">
        <v>174</v>
      </c>
      <c r="D5" s="14" t="s">
        <v>175</v>
      </c>
    </row>
    <row r="6" spans="1:4" ht="49.95" customHeight="1" x14ac:dyDescent="0.3">
      <c r="A6" s="15" t="s">
        <v>176</v>
      </c>
      <c r="B6" s="16" t="s">
        <v>177</v>
      </c>
      <c r="C6" s="16" t="s">
        <v>178</v>
      </c>
      <c r="D6" s="16" t="s">
        <v>179</v>
      </c>
    </row>
    <row r="7" spans="1:4" ht="49.95" customHeight="1" x14ac:dyDescent="0.3">
      <c r="A7" s="17" t="s">
        <v>180</v>
      </c>
      <c r="B7" s="18" t="s">
        <v>181</v>
      </c>
      <c r="C7" s="18" t="s">
        <v>182</v>
      </c>
      <c r="D7" s="18" t="s">
        <v>183</v>
      </c>
    </row>
    <row r="8" spans="1:4" ht="49.95" customHeight="1" x14ac:dyDescent="0.3">
      <c r="A8" s="19" t="s">
        <v>184</v>
      </c>
      <c r="B8" s="20" t="s">
        <v>185</v>
      </c>
      <c r="C8" s="20" t="s">
        <v>186</v>
      </c>
      <c r="D8" s="20" t="s">
        <v>187</v>
      </c>
    </row>
    <row r="9" spans="1:4" ht="49.95" customHeight="1" x14ac:dyDescent="0.3">
      <c r="A9" s="21" t="s">
        <v>188</v>
      </c>
      <c r="B9" s="22" t="s">
        <v>189</v>
      </c>
      <c r="C9" s="22" t="s">
        <v>190</v>
      </c>
      <c r="D9" s="22" t="s">
        <v>191</v>
      </c>
    </row>
    <row r="10" spans="1:4" ht="49.95" customHeight="1" x14ac:dyDescent="0.3">
      <c r="A10" s="23" t="s">
        <v>192</v>
      </c>
      <c r="B10" s="24" t="s">
        <v>193</v>
      </c>
      <c r="C10" s="24" t="s">
        <v>194</v>
      </c>
      <c r="D10" s="24" t="s">
        <v>195</v>
      </c>
    </row>
    <row r="11" spans="1:4" ht="49.95" customHeight="1" x14ac:dyDescent="0.3">
      <c r="A11" s="25" t="s">
        <v>196</v>
      </c>
      <c r="B11" s="26" t="s">
        <v>197</v>
      </c>
      <c r="C11" s="26" t="s">
        <v>198</v>
      </c>
      <c r="D11" s="26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Padrões_Identificados</vt:lpstr>
      <vt:lpstr>Objetivos_Baseados_em_Dados</vt:lpstr>
      <vt:lpstr>Graficos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Jorge Castro Lemos Lopes</cp:lastModifiedBy>
  <dcterms:created xsi:type="dcterms:W3CDTF">2025-10-28T21:51:56Z</dcterms:created>
  <dcterms:modified xsi:type="dcterms:W3CDTF">2025-11-25T22:33:44Z</dcterms:modified>
</cp:coreProperties>
</file>